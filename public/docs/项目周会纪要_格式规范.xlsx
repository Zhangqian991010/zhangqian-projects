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e4f0cd124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85be1462e4d428a"/>
    <x:sheet xmlns:r="http://schemas.openxmlformats.org/officeDocument/2006/relationships" name="周会纪要模板" sheetId="2" r:id="R2de6991517b449bd"/>
    <x:sheet xmlns:r="http://schemas.openxmlformats.org/officeDocument/2006/relationships" name="待办追踪" sheetId="3" r:id="R8c3fb7f7a5c2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1">
    <x:font>
      <x:sz val="11"/>
      <x:name val="Carlito"/>
    </x:font>
    <x:font>
      <x:b/>
      <x:sz val="14"/>
      <x:color rgb="FFFFFFFF"/>
      <x:name val="Carlito"/>
    </x:font>
    <x:font>
      <x:i/>
      <x:sz val="10"/>
      <x:color rgb="FF6B7280"/>
      <x:name val="Carlito"/>
    </x:font>
    <x:font>
      <x:b/>
      <x:sz val="12"/>
      <x:color rgb="FF16335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6335F"/>
      <x:name val="Carlito"/>
    </x:font>
    <x:font>
      <x:b/>
      <x:sz val="10"/>
      <x:color rgb="FF0E7490"/>
      <x:name val="Carlito"/>
    </x:font>
    <x:font>
      <x:sz val="10"/>
      <x:color rgb="FF9C6500"/>
      <x:name val="Carlito"/>
    </x:font>
    <x:font>
      <x:b/>
      <x:sz val="11"/>
      <x:color rgb="FFFFFFFF"/>
      <x:name val="Carlito"/>
    </x:font>
    <x:font>
      <x:sz val="9"/>
      <x:color rgb="FF9C65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35F"/>
      </x:patternFill>
    </x:fill>
    <x:fill>
      <x:patternFill patternType="solid">
        <x:fgColor rgb="FFF5F8FC"/>
      </x:patternFill>
    </x:fill>
    <x:fill>
      <x:patternFill patternType="solid">
        <x:fgColor rgb="FFEAF0F8"/>
      </x:patternFill>
    </x:fill>
    <x:fill>
      <x:patternFill patternType="solid">
        <x:fgColor rgb="FF1F4E8C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C9D3E0"/>
      </x:left>
      <x:right style="thin">
        <x:color rgb="FFC9D3E0"/>
      </x:right>
      <x:top style="thin">
        <x:color rgb="FFC9D3E0"/>
      </x:top>
      <x:bottom style="thin">
        <x:color rgb="FFC9D3E0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5" fillId="6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right"/>
    </x:xf>
    <x:xf numFmtId="0" fontId="5" fillId="6" borderId="0" xfId="0" applyNumberFormat="1" applyFont="1" applyFill="1" applyBorder="1" applyAlignment="1">
      <x:alignment horizontal="right" vertical="center"/>
    </x:xf>
    <x:xf numFmtId="0" fontId="6" fillId="4" borderId="1" xfId="0" applyNumberFormat="1" applyFont="1" applyFill="1" applyBorder="1" applyAlignment="1">
      <x:alignment horizontal="left" vertical="center"/>
    </x:xf>
    <x:xf numFmtId="0" fontId="5" fillId="6" borderId="1" xfId="0" applyNumberFormat="1" applyFont="1" applyFill="1" applyBorder="1" applyAlignment="1">
      <x:alignment horizontal="right" vertical="center"/>
    </x:xf>
    <x:xf numFmtId="201" fontId="5" fillId="6" borderId="1" xfId="0" applyNumberFormat="1" applyFont="1" applyFill="1" applyBorder="1" applyAlignment="1">
      <x:alignment horizontal="right" vertic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1F4E8C"/>
      </x:font>
    </x:dxf>
    <x:dxf>
      <x:font>
        <x:color rgb="FF6B7280"/>
      </x:font>
    </x:dxf>
    <x:dxf>
      <x:font>
        <x:b/>
        <x:color rgb="FF9C0006"/>
      </x:font>
    </x:dxf>
    <x:dxf>
      <x:font>
        <x:b/>
        <x:color rgb="FF9C6500"/>
      </x:font>
    </x:dxf>
    <x:dxf>
      <x:font>
        <x:color rgb="FF6B728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03b1aa00240a2" /><Relationship Type="http://schemas.openxmlformats.org/officeDocument/2006/relationships/theme" Target="/xl/theme/theme1.xml" Id="R4cacdb1fb3e84c4d" /><Relationship Type="http://schemas.openxmlformats.org/officeDocument/2006/relationships/sharedStrings" Target="/xl/sharedStrings.xml" Id="R7060ed9ea0944233" /><Relationship Type="http://schemas.openxmlformats.org/officeDocument/2006/relationships/worksheet" Target="/xl/worksheets/sheet1.xml" Id="R185be1462e4d428a" /><Relationship Type="http://schemas.openxmlformats.org/officeDocument/2006/relationships/worksheet" Target="/xl/worksheets/sheet2.xml" Id="R2de6991517b449bd" /><Relationship Type="http://schemas.openxmlformats.org/officeDocument/2006/relationships/worksheet" Target="/xl/worksheets/sheet3.xml" Id="R8c3fb7f7a5c24c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0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0" customHeight="1">
      <x:c r="A1" s="4" t="str">
        <x:v>项目周会纪要格式规范</x:v>
      </x:c>
      <x:c r="B1" s="4" t="str">
        <x:v>项目周会纪要格式规范</x:v>
      </x:c>
      <x:c r="C1" s="4" t="str">
        <x:v>项目周会纪要格式规范</x:v>
      </x:c>
      <x:c r="D1" s="4" t="str">
        <x:v>项目周会纪要格式规范</x:v>
      </x:c>
      <x:c r="E1" s="4" t="str">
        <x:v>项目周会纪要格式规范</x:v>
      </x:c>
      <x:c r="F1" s="4" t="str">
        <x:v>项目周会纪要格式规范</x:v>
      </x:c>
    </x:row>
    <x:row r="2" ht="20" customHeight="1">
      <x:c r="A2" s="6" t="str">
        <x:v>越秀集团实习实践 · 2026 · 通用模板（示例内容均为占位）</x:v>
      </x:c>
      <x:c r="B2" s="6" t="str">
        <x:v>越秀集团实习实践 · 2026 · 通用模板（示例内容均为占位）</x:v>
      </x:c>
      <x:c r="C2" s="6" t="str">
        <x:v>越秀集团实习实践 · 2026 · 通用模板（示例内容均为占位）</x:v>
      </x:c>
      <x:c r="D2" s="6" t="str">
        <x:v>越秀集团实习实践 · 2026 · 通用模板（示例内容均为占位）</x:v>
      </x:c>
      <x:c r="E2" s="6" t="str">
        <x:v>越秀集团实习实践 · 2026 · 通用模板（示例内容均为占位）</x:v>
      </x:c>
      <x:c r="F2" s="6" t="str">
        <x:v>越秀集团实习实践 · 2026 · 通用模板（示例内容均为占位）</x:v>
      </x:c>
    </x:row>
    <x:row r="4" ht="24" customHeight="1">
      <x:c r="A4" s="10" t="str">
        <x:v>一、这套模板解决什么</x:v>
      </x:c>
      <x:c r="B4" s="10" t="str">
        <x:v>一、这套模板解决什么</x:v>
      </x:c>
      <x:c r="C4" s="10" t="str">
        <x:v>一、这套模板解决什么</x:v>
      </x:c>
      <x:c r="D4" s="10" t="str">
        <x:v>一、这套模板解决什么</x:v>
      </x:c>
      <x:c r="E4" s="10" t="str">
        <x:v>一、这套模板解决什么</x:v>
      </x:c>
      <x:c r="F4" s="10" t="str">
        <x:v>一、这套模板解决什么</x:v>
      </x:c>
    </x:row>
    <x:row r="5" ht="20" customHeight="1">
      <x:c r="A5" s="15" t="str">
        <x:v>序号</x:v>
      </x:c>
      <x:c r="B5" s="15" t="str">
        <x:v>常见问题</x:v>
      </x:c>
      <x:c r="C5" s="15" t="str">
        <x:v>统一格式后的效果</x:v>
      </x:c>
      <x:c r="D5" s="15" t="str">
        <x:v>统一格式后的效果</x:v>
      </x:c>
      <x:c r="E5" s="15" t="str">
        <x:v>统一格式后的效果</x:v>
      </x:c>
      <x:c r="F5" s="15" t="str">
        <x:v>统一格式后的效果</x:v>
      </x:c>
    </x:row>
    <x:row r="6">
      <x:c r="A6" s="19" t="str">
        <x:v>1</x:v>
      </x:c>
      <x:c r="B6" s="19" t="str">
        <x:v>决策无留痕</x:v>
      </x:c>
      <x:c r="C6" s="19" t="str">
        <x:v>定了什么、谁定的、何时生效，白纸黑字可回溯</x:v>
      </x:c>
      <x:c r="D6" s="19"/>
      <x:c r="E6" s="19"/>
      <x:c r="F6" s="19"/>
    </x:row>
    <x:row r="7">
      <x:c r="A7" s="24" t="str">
        <x:v>2</x:v>
      </x:c>
      <x:c r="B7" s="24" t="str">
        <x:v>待办无追踪</x:v>
      </x:c>
      <x:c r="C7" s="24" t="str">
        <x:v>责任人 + 截止时间 + 状态，每周滚动更新，不靠人肉催</x:v>
      </x:c>
      <x:c r="D7" s="24"/>
      <x:c r="E7" s="24"/>
      <x:c r="F7" s="24"/>
    </x:row>
    <x:row r="8">
      <x:c r="A8" s="19" t="str">
        <x:v>3</x:v>
      </x:c>
      <x:c r="B8" s="19" t="str">
        <x:v>信息无沉淀</x:v>
      </x:c>
      <x:c r="C8" s="19" t="str">
        <x:v>新人接手看得懂，复盘时有依据，经验留得下来</x:v>
      </x:c>
      <x:c r="D8" s="19"/>
      <x:c r="E8" s="19"/>
      <x:c r="F8" s="19"/>
    </x:row>
    <x:row r="10" ht="24" customHeight="1">
      <x:c r="A10" s="10" t="str">
        <x:v>二、三个工作表怎么用</x:v>
      </x:c>
      <x:c r="B10" s="10" t="str">
        <x:v>二、三个工作表怎么用</x:v>
      </x:c>
      <x:c r="C10" s="10" t="str">
        <x:v>二、三个工作表怎么用</x:v>
      </x:c>
      <x:c r="D10" s="10" t="str">
        <x:v>二、三个工作表怎么用</x:v>
      </x:c>
      <x:c r="E10" s="10" t="str">
        <x:v>二、三个工作表怎么用</x:v>
      </x:c>
      <x:c r="F10" s="10" t="str">
        <x:v>二、三个工作表怎么用</x:v>
      </x:c>
    </x:row>
    <x:row r="11" ht="20" customHeight="1">
      <x:c r="A11" s="15" t="str">
        <x:v>序号</x:v>
      </x:c>
      <x:c r="B11" s="15" t="str">
        <x:v>工作表</x:v>
      </x:c>
      <x:c r="C11" s="15" t="str">
        <x:v>作用</x:v>
      </x:c>
      <x:c r="D11" s="15" t="str">
        <x:v>怎么填</x:v>
      </x:c>
      <x:c r="E11" s="15" t="str">
        <x:v>怎么填</x:v>
      </x:c>
      <x:c r="F11" s="15" t="str">
        <x:v>怎么填</x:v>
      </x:c>
    </x:row>
    <x:row r="12">
      <x:c r="A12" s="19" t="str">
        <x:v>1</x:v>
      </x:c>
      <x:c r="B12" s="19" t="str">
        <x:v>使用说明</x:v>
      </x:c>
      <x:c r="C12" s="19" t="str">
        <x:v>格式规范速查</x:v>
      </x:c>
      <x:c r="D12" s="19" t="str">
        <x:v>六段式说明、状态与优先级定义、填写示例，新同事看这一页就能上手</x:v>
      </x:c>
      <x:c r="E12" s="19"/>
      <x:c r="F12" s="19"/>
    </x:row>
    <x:row r="13">
      <x:c r="A13" s="24" t="str">
        <x:v>2</x:v>
      </x:c>
      <x:c r="B13" s="24" t="str">
        <x:v>周会纪要模板</x:v>
      </x:c>
      <x:c r="C13" s="24" t="str">
        <x:v>会后直接填</x:v>
      </x:c>
      <x:c r="D13" s="24" t="str">
        <x:v>会议信息 + 六段式正文，示例行标注【示例】，照着替换即可</x:v>
      </x:c>
      <x:c r="E13" s="24"/>
      <x:c r="F13" s="24"/>
    </x:row>
    <x:row r="14">
      <x:c r="A14" s="19" t="str">
        <x:v>3</x:v>
      </x:c>
      <x:c r="B14" s="19" t="str">
        <x:v>待办追踪</x:v>
      </x:c>
      <x:c r="C14" s="19" t="str">
        <x:v>长期滚动台账</x:v>
      </x:c>
      <x:c r="D14" s="19" t="str">
        <x:v>全项目待办汇总，下拉选状态，逾期自动高亮，每周五更新一次</x:v>
      </x:c>
      <x:c r="E14" s="19"/>
      <x:c r="F14" s="19"/>
    </x:row>
    <x:row r="16" ht="24" customHeight="1">
      <x:c r="A16" s="10" t="str">
        <x:v>三、六段式填写规范</x:v>
      </x:c>
      <x:c r="B16" s="10" t="str">
        <x:v>三、六段式填写规范</x:v>
      </x:c>
      <x:c r="C16" s="10" t="str">
        <x:v>三、六段式填写规范</x:v>
      </x:c>
      <x:c r="D16" s="10" t="str">
        <x:v>三、六段式填写规范</x:v>
      </x:c>
      <x:c r="E16" s="10" t="str">
        <x:v>三、六段式填写规范</x:v>
      </x:c>
      <x:c r="F16" s="10" t="str">
        <x:v>三、六段式填写规范</x:v>
      </x:c>
    </x:row>
    <x:row r="17" ht="20" customHeight="1">
      <x:c r="A17" s="15" t="str">
        <x:v>段落</x:v>
      </x:c>
      <x:c r="B17" s="15" t="str">
        <x:v>写什么</x:v>
      </x:c>
      <x:c r="C17" s="15" t="str">
        <x:v>写什么</x:v>
      </x:c>
      <x:c r="D17" s="15" t="str">
        <x:v>要点</x:v>
      </x:c>
      <x:c r="E17" s="15" t="str">
        <x:v>要点</x:v>
      </x:c>
      <x:c r="F17" s="15" t="str">
        <x:v>要点</x:v>
      </x:c>
    </x:row>
    <x:row r="18">
      <x:c r="A18" s="30" t="str">
        <x:v>会议信息</x:v>
      </x:c>
      <x:c r="B18" s="31" t="str">
        <x:v>时间、地点、主持人、参会人、记录人、会议性质</x:v>
      </x:c>
      <x:c r="C18" s="31"/>
      <x:c r="D18" s="31" t="str">
        <x:v>开场 1 分钟填完，参会人写全，便于日后追溯</x:v>
      </x:c>
      <x:c r="E18" s="31"/>
      <x:c r="F18" s="31"/>
    </x:row>
    <x:row r="19">
      <x:c r="A19" s="37" t="str">
        <x:v>上期待办回顾</x:v>
      </x:c>
      <x:c r="B19" s="38" t="str">
        <x:v>逐条核对上期待办状态</x:v>
      </x:c>
      <x:c r="C19" s="38"/>
      <x:c r="D19" s="38" t="str">
        <x:v>未完成的写明原因与新时限，不静默消失</x:v>
      </x:c>
      <x:c r="E19" s="38"/>
      <x:c r="F19" s="38"/>
    </x:row>
    <x:row r="20">
      <x:c r="A20" s="30" t="str">
        <x:v>议题与结论</x:v>
      </x:c>
      <x:c r="B20" s="31" t="str">
        <x:v>每个议题的讨论要点与结论</x:v>
      </x:c>
      <x:c r="C20" s="31"/>
      <x:c r="D20" s="31" t="str">
        <x:v>一个议题一句话结论，过程不写流水账</x:v>
      </x:c>
      <x:c r="E20" s="31"/>
      <x:c r="F20" s="31"/>
    </x:row>
    <x:row r="21">
      <x:c r="A21" s="37" t="str">
        <x:v>决策事项</x:v>
      </x:c>
      <x:c r="B21" s="38" t="str">
        <x:v>谁拍板、定了什么、何时生效</x:v>
      </x:c>
      <x:c r="C21" s="38"/>
      <x:c r="D21" s="38" t="str">
        <x:v>明确到人，避免会后理解不一致</x:v>
      </x:c>
      <x:c r="E21" s="38"/>
      <x:c r="F21" s="38"/>
    </x:row>
    <x:row r="22">
      <x:c r="A22" s="30" t="str">
        <x:v>待办事项</x:v>
      </x:c>
      <x:c r="B22" s="31" t="str">
        <x:v>事项、责任人、截止时间、优先级、状态</x:v>
      </x:c>
      <x:c r="C22" s="31"/>
      <x:c r="D22" s="31" t="str">
        <x:v>五要素齐全，责任到人、时间到天</x:v>
      </x:c>
      <x:c r="E22" s="31"/>
      <x:c r="F22" s="31"/>
    </x:row>
    <x:row r="23">
      <x:c r="A23" s="37" t="str">
        <x:v>风险与求助</x:v>
      </x:c>
      <x:c r="B23" s="38" t="str">
        <x:v>风险点、影响范围、需要的支持</x:v>
      </x:c>
      <x:c r="C23" s="38"/>
      <x:c r="D23" s="38" t="str">
        <x:v>提前暴露，明确需要谁协调</x:v>
      </x:c>
      <x:c r="E23" s="38"/>
      <x:c r="F23" s="38"/>
    </x:row>
    <x:row r="25" ht="24" customHeight="1">
      <x:c r="A25" s="10" t="str">
        <x:v>四、状态与优先级定义</x:v>
      </x:c>
      <x:c r="B25" s="10" t="str">
        <x:v>四、状态与优先级定义</x:v>
      </x:c>
      <x:c r="C25" s="10" t="str">
        <x:v>四、状态与优先级定义</x:v>
      </x:c>
      <x:c r="D25" s="10" t="str">
        <x:v>四、状态与优先级定义</x:v>
      </x:c>
      <x:c r="E25" s="10" t="str">
        <x:v>四、状态与优先级定义</x:v>
      </x:c>
      <x:c r="F25" s="10" t="str">
        <x:v>四、状态与优先级定义</x:v>
      </x:c>
    </x:row>
    <x:row r="26" ht="20" customHeight="1">
      <x:c r="A26" s="15" t="str">
        <x:v>状态</x:v>
      </x:c>
      <x:c r="B26" s="15" t="str">
        <x:v>含义</x:v>
      </x:c>
      <x:c r="C26" s="15" t="str">
        <x:v>含义</x:v>
      </x:c>
      <x:c r="D26" s="15" t="str">
        <x:v>处理建议</x:v>
      </x:c>
      <x:c r="E26" s="15" t="str">
        <x:v>处理建议</x:v>
      </x:c>
      <x:c r="F26" s="15" t="str">
        <x:v>处理建议</x:v>
      </x:c>
    </x:row>
    <x:row r="27">
      <x:c r="A27" s="42" t="str">
        <x:v>未开始</x:v>
      </x:c>
      <x:c r="B27" s="31" t="str">
        <x:v>已明确待办，尚未启动</x:v>
      </x:c>
      <x:c r="C27" s="31"/>
      <x:c r="D27" s="31" t="str">
        <x:v>明确启动时间，避免长期挂着</x:v>
      </x:c>
      <x:c r="E27" s="31"/>
      <x:c r="F27" s="31"/>
    </x:row>
    <x:row r="28">
      <x:c r="A28" s="46" t="str">
        <x:v>进行中</x:v>
      </x:c>
      <x:c r="B28" s="38" t="str">
        <x:v>正在推进中</x:v>
      </x:c>
      <x:c r="C28" s="38"/>
      <x:c r="D28" s="38" t="str">
        <x:v>备注当前进度与卡点</x:v>
      </x:c>
      <x:c r="E28" s="38"/>
      <x:c r="F28" s="38"/>
    </x:row>
    <x:row r="29">
      <x:c r="A29" s="42" t="str">
        <x:v>已完成</x:v>
      </x:c>
      <x:c r="B29" s="31" t="str">
        <x:v>事项已闭环</x:v>
      </x:c>
      <x:c r="C29" s="31"/>
      <x:c r="D29" s="31" t="str">
        <x:v>补充完成说明，便于复盘</x:v>
      </x:c>
      <x:c r="E29" s="31"/>
      <x:c r="F29" s="31"/>
    </x:row>
    <x:row r="30">
      <x:c r="A30" s="46" t="str">
        <x:v>已逾期</x:v>
      </x:c>
      <x:c r="B30" s="38" t="str">
        <x:v>超过截止时间未完成</x:v>
      </x:c>
      <x:c r="C30" s="38"/>
      <x:c r="D30" s="38" t="str">
        <x:v>更新新时限并说明原因，必要时升级</x:v>
      </x:c>
      <x:c r="E30" s="38"/>
      <x:c r="F30" s="38"/>
    </x:row>
    <x:row r="32" ht="20" customHeight="1">
      <x:c r="A32" s="15" t="str">
        <x:v>优先级</x:v>
      </x:c>
      <x:c r="B32" s="15" t="str">
        <x:v>含义</x:v>
      </x:c>
      <x:c r="C32" s="15" t="str">
        <x:v>含义</x:v>
      </x:c>
      <x:c r="D32" s="15" t="str">
        <x:v>示例</x:v>
      </x:c>
      <x:c r="E32" s="15" t="str">
        <x:v>示例</x:v>
      </x:c>
      <x:c r="F32" s="15" t="str">
        <x:v>示例</x:v>
      </x:c>
    </x:row>
    <x:row r="33">
      <x:c r="A33" s="42" t="str">
        <x:v>高</x:v>
      </x:c>
      <x:c r="B33" s="31" t="str">
        <x:v>影响项目关键节点或需升级决策</x:v>
      </x:c>
      <x:c r="C33" s="31"/>
      <x:c r="D33" s="31" t="str">
        <x:v>开工节点、报审时限、跨部门卡点</x:v>
      </x:c>
      <x:c r="E33" s="31"/>
      <x:c r="F33" s="31"/>
    </x:row>
    <x:row r="34">
      <x:c r="A34" s="46" t="str">
        <x:v>中</x:v>
      </x:c>
      <x:c r="B34" s="38" t="str">
        <x:v>影响当前工作推进，需本周闭环</x:v>
      </x:c>
      <x:c r="C34" s="38"/>
      <x:c r="D34" s="38" t="str">
        <x:v>资料补充、意见汇总、常规协调</x:v>
      </x:c>
      <x:c r="E34" s="38"/>
      <x:c r="F34" s="38"/>
    </x:row>
    <x:row r="35">
      <x:c r="A35" s="42" t="str">
        <x:v>低</x:v>
      </x:c>
      <x:c r="B35" s="31" t="str">
        <x:v>优化型或长期事项</x:v>
      </x:c>
      <x:c r="C35" s="31"/>
      <x:c r="D35" s="31" t="str">
        <x:v>流程优化、文档沉淀、后续调研</x:v>
      </x:c>
      <x:c r="E35" s="31"/>
      <x:c r="F35" s="31"/>
    </x:row>
    <x:row r="37" ht="24" customHeight="1">
      <x:c r="A37" s="10" t="str">
        <x:v>五、整理工作流（AI 初稿 + 人工校准）</x:v>
      </x:c>
      <x:c r="B37" s="10" t="str">
        <x:v>五、整理工作流（AI 初稿 + 人工校准）</x:v>
      </x:c>
      <x:c r="C37" s="10" t="str">
        <x:v>五、整理工作流（AI 初稿 + 人工校准）</x:v>
      </x:c>
      <x:c r="D37" s="10" t="str">
        <x:v>五、整理工作流（AI 初稿 + 人工校准）</x:v>
      </x:c>
      <x:c r="E37" s="10" t="str">
        <x:v>五、整理工作流（AI 初稿 + 人工校准）</x:v>
      </x:c>
      <x:c r="F37" s="10" t="str">
        <x:v>五、整理工作流（AI 初稿 + 人工校准）</x:v>
      </x:c>
    </x:row>
    <x:row r="38" ht="20" customHeight="1">
      <x:c r="A38" s="15" t="str">
        <x:v>步骤</x:v>
      </x:c>
      <x:c r="B38" s="15" t="str">
        <x:v>做什么</x:v>
      </x:c>
      <x:c r="C38" s="15" t="str">
        <x:v>做什么</x:v>
      </x:c>
      <x:c r="D38" s="15" t="str">
        <x:v>产出/要点</x:v>
      </x:c>
      <x:c r="E38" s="15" t="str">
        <x:v>产出/要点</x:v>
      </x:c>
      <x:c r="F38" s="15" t="str">
        <x:v>产出/要点</x:v>
      </x:c>
    </x:row>
    <x:row r="39">
      <x:c r="A39" s="30" t="str">
        <x:v>1 素材准备</x:v>
      </x:c>
      <x:c r="B39" s="31" t="str">
        <x:v>会议录音或速记原文，按议题切分</x:v>
      </x:c>
      <x:c r="C39" s="31"/>
      <x:c r="D39" s="31" t="str">
        <x:v>标记时间点，便于回查</x:v>
      </x:c>
      <x:c r="E39" s="31"/>
      <x:c r="F39" s="31"/>
    </x:row>
    <x:row r="40">
      <x:c r="A40" s="37" t="str">
        <x:v>2 AI 初稿</x:v>
      </x:c>
      <x:c r="B40" s="38" t="str">
        <x:v>去口水话、按六段式归纳</x:v>
      </x:c>
      <x:c r="C40" s="38"/>
      <x:c r="D40" s="38" t="str">
        <x:v>自动标出决策、待办、风险候选</x:v>
      </x:c>
      <x:c r="E40" s="38"/>
      <x:c r="F40" s="38"/>
    </x:row>
    <x:row r="41">
      <x:c r="A41" s="30" t="str">
        <x:v>3 人工校准</x:v>
      </x:c>
      <x:c r="B41" s="31" t="str">
        <x:v>逐条核对结论与责任人，补充背景</x:v>
      </x:c>
      <x:c r="C41" s="31"/>
      <x:c r="D41" s="31" t="str">
        <x:v>修正误听与遗漏，涉及拍板字段人工把关</x:v>
      </x:c>
      <x:c r="E41" s="31"/>
      <x:c r="F41" s="31"/>
    </x:row>
    <x:row r="42">
      <x:c r="A42" s="37" t="str">
        <x:v>4 归档追踪</x:v>
      </x:c>
      <x:c r="B42" s="38" t="str">
        <x:v>录入 Excel 台账，周会前回顾</x:v>
      </x:c>
      <x:c r="C42" s="38"/>
      <x:c r="D42" s="38" t="str">
        <x:v>每周五更新状态，闭环可追溯</x:v>
      </x:c>
      <x:c r="E42" s="38"/>
      <x:c r="F42" s="38"/>
    </x:row>
    <x:row r="44" ht="34" customHeight="1">
      <x:c r="A44" s="50" t="str">
        <x:v>使用节奏：会前 5 分钟翻上期 · 会后 10 分钟出纪要 · 每周五更新台账。示例内容均为占位，正式使用时请替换为真实信息。</x:v>
      </x:c>
      <x:c r="B44" s="50" t="str">
        <x:v>使用节奏：会前 5 分钟翻上期 · 会后 10 分钟出纪要 · 每周五更新台账。示例内容均为占位，正式使用时请替换为真实信息。</x:v>
      </x:c>
      <x:c r="C44" s="50" t="str">
        <x:v>使用节奏：会前 5 分钟翻上期 · 会后 10 分钟出纪要 · 每周五更新台账。示例内容均为占位，正式使用时请替换为真实信息。</x:v>
      </x:c>
      <x:c r="D44" s="50" t="str">
        <x:v>使用节奏：会前 5 分钟翻上期 · 会后 10 分钟出纪要 · 每周五更新台账。示例内容均为占位，正式使用时请替换为真实信息。</x:v>
      </x:c>
      <x:c r="E44" s="50" t="str">
        <x:v>使用节奏：会前 5 分钟翻上期 · 会后 10 分钟出纪要 · 每周五更新台账。示例内容均为占位，正式使用时请替换为真实信息。</x:v>
      </x:c>
      <x:c r="F44" s="50" t="str">
        <x:v>使用节奏：会前 5 分钟翻上期 · 会后 10 分钟出纪要 · 每周五更新台账。示例内容均为占位，正式使用时请替换为真实信息。</x:v>
      </x:c>
    </x:row>
  </x:sheetData>
  <x:mergeCells>
    <x:mergeCell ref="A1:F1"/>
    <x:mergeCell ref="A2:F2"/>
    <x:mergeCell ref="A4:F4"/>
    <x:mergeCell ref="C5:F5"/>
    <x:mergeCell ref="C6:F6"/>
    <x:mergeCell ref="C7:F7"/>
    <x:mergeCell ref="C8:F8"/>
    <x:mergeCell ref="A10:F10"/>
    <x:mergeCell ref="D11:F11"/>
    <x:mergeCell ref="D12:F12"/>
    <x:mergeCell ref="D13:F13"/>
    <x:mergeCell ref="D14:F14"/>
    <x:mergeCell ref="A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A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A37:F37"/>
    <x:mergeCell ref="B38:C38"/>
    <x:mergeCell ref="D38:F38"/>
    <x:mergeCell ref="B39:C39"/>
    <x:mergeCell ref="D39:F39"/>
    <x:mergeCell ref="B40:C40"/>
    <x:mergeCell ref="D40:F40"/>
    <x:mergeCell ref="B41:C41"/>
    <x:mergeCell ref="D41:F41"/>
    <x:mergeCell ref="B42:C42"/>
    <x:mergeCell ref="D42:F42"/>
    <x:mergeCell ref="A44:F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30" hidden="0" customWidth="1"/>
  </x:cols>
  <x:sheetData>
    <x:row r="1" ht="30" customHeight="1">
      <x:c r="A1" s="4" t="str">
        <x:v>项目周会纪要格式规范</x:v>
      </x:c>
      <x:c r="B1" s="4" t="str">
        <x:v>项目周会纪要格式规范</x:v>
      </x:c>
      <x:c r="C1" s="4" t="str">
        <x:v>项目周会纪要格式规范</x:v>
      </x:c>
      <x:c r="D1" s="4" t="str">
        <x:v>项目周会纪要格式规范</x:v>
      </x:c>
      <x:c r="E1" s="4" t="str">
        <x:v>项目周会纪要格式规范</x:v>
      </x:c>
      <x:c r="F1" s="4" t="str">
        <x:v>项目周会纪要格式规范</x:v>
      </x:c>
      <x:c r="G1" s="4" t="str">
        <x:v>项目周会纪要格式规范</x:v>
      </x:c>
      <x:c r="H1" s="4" t="str">
        <x:v>项目周会纪要格式规范</x:v>
      </x:c>
    </x:row>
    <x:row r="2" ht="20" customHeight="1">
      <x:c r="A2" s="6" t="str">
        <x:v>越秀集团实习实践 · 2026 · 通用模板（示例内容均为占位）</x:v>
      </x:c>
      <x:c r="B2" s="6" t="str">
        <x:v>越秀集团实习实践 · 2026 · 通用模板（示例内容均为占位）</x:v>
      </x:c>
      <x:c r="C2" s="6" t="str">
        <x:v>越秀集团实习实践 · 2026 · 通用模板（示例内容均为占位）</x:v>
      </x:c>
      <x:c r="D2" s="6" t="str">
        <x:v>越秀集团实习实践 · 2026 · 通用模板（示例内容均为占位）</x:v>
      </x:c>
      <x:c r="E2" s="6" t="str">
        <x:v>越秀集团实习实践 · 2026 · 通用模板（示例内容均为占位）</x:v>
      </x:c>
      <x:c r="F2" s="6" t="str">
        <x:v>越秀集团实习实践 · 2026 · 通用模板（示例内容均为占位）</x:v>
      </x:c>
      <x:c r="G2" s="6" t="str">
        <x:v>越秀集团实习实践 · 2026 · 通用模板（示例内容均为占位）</x:v>
      </x:c>
      <x:c r="H2" s="6" t="str">
        <x:v>越秀集团实习实践 · 2026 · 通用模板（示例内容均为占位）</x:v>
      </x:c>
    </x:row>
    <x:row r="4" ht="24" customHeight="1">
      <x:c r="A4" s="10" t="str">
        <x:v>一、会议信息</x:v>
      </x:c>
      <x:c r="B4" s="10" t="str">
        <x:v>一、会议信息</x:v>
      </x:c>
      <x:c r="C4" s="10" t="str">
        <x:v>一、会议信息</x:v>
      </x:c>
      <x:c r="D4" s="10" t="str">
        <x:v>一、会议信息</x:v>
      </x:c>
      <x:c r="E4" s="10" t="str">
        <x:v>一、会议信息</x:v>
      </x:c>
      <x:c r="F4" s="10" t="str">
        <x:v>一、会议信息</x:v>
      </x:c>
      <x:c r="G4" s="10" t="str">
        <x:v>一、会议信息</x:v>
      </x:c>
      <x:c r="H4" s="10" t="str">
        <x:v>一、会议信息</x:v>
      </x:c>
    </x:row>
    <x:row r="5">
      <x:c r="A5" s="55" t="str">
        <x:v>会议名称</x:v>
      </x:c>
      <x:c r="B5" s="55" t="str">
        <x:v>会议名称</x:v>
      </x:c>
      <x:c r="C5" s="56" t="str">
        <x:v>（示例：XX 项目第 12 期周例会）</x:v>
      </x:c>
      <x:c r="D5" s="56" t="str">
        <x:v>（示例：XX 项目第 12 期周例会）</x:v>
      </x:c>
      <x:c r="E5" s="56" t="str">
        <x:v>（示例：XX 项目第 12 期周例会）</x:v>
      </x:c>
      <x:c r="F5" s="56" t="str">
        <x:v>（示例：XX 项目第 12 期周例会）</x:v>
      </x:c>
      <x:c r="G5" s="56" t="str">
        <x:v>（示例：XX 项目第 12 期周例会）</x:v>
      </x:c>
      <x:c r="H5" s="56" t="str">
        <x:v>（示例：XX 项目第 12 期周例会）</x:v>
      </x:c>
    </x:row>
    <x:row r="6">
      <x:c r="A6" s="55" t="str">
        <x:v>会议时间</x:v>
      </x:c>
      <x:c r="B6" s="55" t="str">
        <x:v>会议时间</x:v>
      </x:c>
      <x:c r="C6" s="56" t="str">
        <x:v>2026-08-07 14:00 - 15:30</x:v>
      </x:c>
      <x:c r="D6" s="56" t="str">
        <x:v>2026-08-07 14:00 - 15:30</x:v>
      </x:c>
      <x:c r="E6" s="56" t="str">
        <x:v>2026-08-07 14:00 - 15:30</x:v>
      </x:c>
      <x:c r="F6" s="56" t="str">
        <x:v>2026-08-07 14:00 - 15:30</x:v>
      </x:c>
      <x:c r="G6" s="56" t="str">
        <x:v>2026-08-07 14:00 - 15:30</x:v>
      </x:c>
      <x:c r="H6" s="56" t="str">
        <x:v>2026-08-07 14:00 - 15:30</x:v>
      </x:c>
    </x:row>
    <x:row r="7">
      <x:c r="A7" s="55" t="str">
        <x:v>地点/方式</x:v>
      </x:c>
      <x:c r="B7" s="55" t="str">
        <x:v>地点/方式</x:v>
      </x:c>
      <x:c r="C7" s="56" t="str">
        <x:v>会议室 A / 腾讯会议</x:v>
      </x:c>
      <x:c r="D7" s="56" t="str">
        <x:v>会议室 A / 腾讯会议</x:v>
      </x:c>
      <x:c r="E7" s="56" t="str">
        <x:v>会议室 A / 腾讯会议</x:v>
      </x:c>
      <x:c r="F7" s="56" t="str">
        <x:v>会议室 A / 腾讯会议</x:v>
      </x:c>
      <x:c r="G7" s="56" t="str">
        <x:v>会议室 A / 腾讯会议</x:v>
      </x:c>
      <x:c r="H7" s="56" t="str">
        <x:v>会议室 A / 腾讯会议</x:v>
      </x:c>
    </x:row>
    <x:row r="8">
      <x:c r="A8" s="55" t="str">
        <x:v>主持人</x:v>
      </x:c>
      <x:c r="B8" s="55" t="str">
        <x:v>主持人</x:v>
      </x:c>
      <x:c r="C8" s="56" t="str">
        <x:v>（填写）</x:v>
      </x:c>
      <x:c r="D8" s="56" t="str">
        <x:v>（填写）</x:v>
      </x:c>
      <x:c r="E8" s="56" t="str">
        <x:v>（填写）</x:v>
      </x:c>
      <x:c r="F8" s="56" t="str">
        <x:v>（填写）</x:v>
      </x:c>
      <x:c r="G8" s="56" t="str">
        <x:v>（填写）</x:v>
      </x:c>
      <x:c r="H8" s="56" t="str">
        <x:v>（填写）</x:v>
      </x:c>
    </x:row>
    <x:row r="9">
      <x:c r="A9" s="55" t="str">
        <x:v>记录人</x:v>
      </x:c>
      <x:c r="B9" s="55" t="str">
        <x:v>记录人</x:v>
      </x:c>
      <x:c r="C9" s="56" t="str">
        <x:v>张千</x:v>
      </x:c>
      <x:c r="D9" s="56" t="str">
        <x:v>张千</x:v>
      </x:c>
      <x:c r="E9" s="56" t="str">
        <x:v>张千</x:v>
      </x:c>
      <x:c r="F9" s="56" t="str">
        <x:v>张千</x:v>
      </x:c>
      <x:c r="G9" s="56" t="str">
        <x:v>张千</x:v>
      </x:c>
      <x:c r="H9" s="56" t="str">
        <x:v>张千</x:v>
      </x:c>
    </x:row>
    <x:row r="10">
      <x:c r="A10" s="55" t="str">
        <x:v>参会人</x:v>
      </x:c>
      <x:c r="B10" s="55" t="str">
        <x:v>参会人</x:v>
      </x:c>
      <x:c r="C10" s="56" t="str">
        <x:v>（按实际填写）</x:v>
      </x:c>
      <x:c r="D10" s="56" t="str">
        <x:v>（按实际填写）</x:v>
      </x:c>
      <x:c r="E10" s="56" t="str">
        <x:v>（按实际填写）</x:v>
      </x:c>
      <x:c r="F10" s="56" t="str">
        <x:v>（按实际填写）</x:v>
      </x:c>
      <x:c r="G10" s="56" t="str">
        <x:v>（按实际填写）</x:v>
      </x:c>
      <x:c r="H10" s="56" t="str">
        <x:v>（按实际填写）</x:v>
      </x:c>
    </x:row>
    <x:row r="11">
      <x:c r="A11" s="55" t="str">
        <x:v>会议性质</x:v>
      </x:c>
      <x:c r="B11" s="55" t="str">
        <x:v>会议性质</x:v>
      </x:c>
      <x:c r="C11" s="56" t="str">
        <x:v>项目周例会</x:v>
      </x:c>
      <x:c r="D11" s="56" t="str">
        <x:v>项目周例会</x:v>
      </x:c>
      <x:c r="E11" s="56" t="str">
        <x:v>项目周例会</x:v>
      </x:c>
      <x:c r="F11" s="56" t="str">
        <x:v>项目周例会</x:v>
      </x:c>
      <x:c r="G11" s="56" t="str">
        <x:v>项目周例会</x:v>
      </x:c>
      <x:c r="H11" s="56" t="str">
        <x:v>项目周例会</x:v>
      </x:c>
    </x:row>
    <x:row r="12">
      <x:c r="A12" s="55" t="str">
        <x:v>下期议题</x:v>
      </x:c>
      <x:c r="B12" s="55" t="str">
        <x:v>下期议题</x:v>
      </x:c>
      <x:c r="C12" s="56" t="str">
        <x:v>（预告下次要讨论的主题）</x:v>
      </x:c>
      <x:c r="D12" s="56" t="str">
        <x:v>（预告下次要讨论的主题）</x:v>
      </x:c>
      <x:c r="E12" s="56" t="str">
        <x:v>（预告下次要讨论的主题）</x:v>
      </x:c>
      <x:c r="F12" s="56" t="str">
        <x:v>（预告下次要讨论的主题）</x:v>
      </x:c>
      <x:c r="G12" s="56" t="str">
        <x:v>（预告下次要讨论的主题）</x:v>
      </x:c>
      <x:c r="H12" s="56" t="str">
        <x:v>（预告下次要讨论的主题）</x:v>
      </x:c>
    </x:row>
    <x:row r="14" ht="24" customHeight="1">
      <x:c r="A14" s="10" t="str">
        <x:v>二、上期待办回顾</x:v>
      </x:c>
      <x:c r="B14" s="10" t="str">
        <x:v>二、上期待办回顾</x:v>
      </x:c>
      <x:c r="C14" s="10" t="str">
        <x:v>二、上期待办回顾</x:v>
      </x:c>
      <x:c r="D14" s="10" t="str">
        <x:v>二、上期待办回顾</x:v>
      </x:c>
      <x:c r="E14" s="10" t="str">
        <x:v>二、上期待办回顾</x:v>
      </x:c>
      <x:c r="F14" s="10" t="str">
        <x:v>二、上期待办回顾</x:v>
      </x:c>
      <x:c r="G14" s="10" t="str">
        <x:v>二、上期待办回顾</x:v>
      </x:c>
      <x:c r="H14" s="10" t="str">
        <x:v>二、上期待办回顾</x:v>
      </x:c>
    </x:row>
    <x:row r="15" ht="20" customHeight="1">
      <x:c r="A15" s="15" t="str">
        <x:v>编号</x:v>
      </x:c>
      <x:c r="B15" s="15" t="str">
        <x:v>上期待办</x:v>
      </x:c>
      <x:c r="C15" s="15" t="str">
        <x:v>上期待办</x:v>
      </x:c>
      <x:c r="D15" s="15" t="str">
        <x:v>状态</x:v>
      </x:c>
      <x:c r="E15" s="15" t="str">
        <x:v>说明（未完成请写明原因与新时限）</x:v>
      </x:c>
      <x:c r="F15" s="15" t="str">
        <x:v>说明（未完成请写明原因与新时限）</x:v>
      </x:c>
      <x:c r="G15" s="15" t="str">
        <x:v>说明（未完成请写明原因与新时限）</x:v>
      </x:c>
      <x:c r="H15" s="15" t="str">
        <x:v>说明（未完成请写明原因与新时限）</x:v>
      </x:c>
    </x:row>
    <x:row r="16">
      <x:c r="A16" s="59" t="str">
        <x:v>【示例】</x:v>
      </x:c>
      <x:c r="B16" s="19" t="str">
        <x:v>核对施工图送审意见并回复设计院</x:v>
      </x:c>
      <x:c r="C16" s="19"/>
      <x:c r="D16" s="59" t="str">
        <x:v>进行中</x:v>
      </x:c>
      <x:c r="E16" s="19" t="str">
        <x:v>已催办，预计 8/14 前闭环</x:v>
      </x:c>
      <x:c r="F16" s="19"/>
      <x:c r="G16" s="19"/>
      <x:c r="H16" s="19"/>
    </x:row>
    <x:row r="17">
      <x:c r="A17" s="62" t="str">
        <x:v>【示例】</x:v>
      </x:c>
      <x:c r="B17" s="24" t="str">
        <x:v>汇总基坑支护方案评审意见</x:v>
      </x:c>
      <x:c r="C17" s="24"/>
      <x:c r="D17" s="62" t="str">
        <x:v>已完成</x:v>
      </x:c>
      <x:c r="E17" s="24" t="str">
        <x:v>意见已汇总，移交设计条线</x:v>
      </x:c>
      <x:c r="F17" s="24"/>
      <x:c r="G17" s="24"/>
      <x:c r="H17" s="24"/>
    </x:row>
    <x:row r="19" ht="24" customHeight="1">
      <x:c r="A19" s="10" t="str">
        <x:v>三、议题与结论</x:v>
      </x:c>
      <x:c r="B19" s="10" t="str">
        <x:v>三、议题与结论</x:v>
      </x:c>
      <x:c r="C19" s="10" t="str">
        <x:v>三、议题与结论</x:v>
      </x:c>
      <x:c r="D19" s="10" t="str">
        <x:v>三、议题与结论</x:v>
      </x:c>
      <x:c r="E19" s="10" t="str">
        <x:v>三、议题与结论</x:v>
      </x:c>
      <x:c r="F19" s="10" t="str">
        <x:v>三、议题与结论</x:v>
      </x:c>
      <x:c r="G19" s="10" t="str">
        <x:v>三、议题与结论</x:v>
      </x:c>
      <x:c r="H19" s="10" t="str">
        <x:v>三、议题与结论</x:v>
      </x:c>
    </x:row>
    <x:row r="20" ht="20" customHeight="1">
      <x:c r="A20" s="15" t="str">
        <x:v>编号</x:v>
      </x:c>
      <x:c r="B20" s="15" t="str">
        <x:v>议题</x:v>
      </x:c>
      <x:c r="C20" s="15" t="str">
        <x:v>议题</x:v>
      </x:c>
      <x:c r="D20" s="15" t="str">
        <x:v>讨论要点</x:v>
      </x:c>
      <x:c r="E20" s="15" t="str">
        <x:v>讨论要点</x:v>
      </x:c>
      <x:c r="F20" s="15" t="str">
        <x:v>结论</x:v>
      </x:c>
      <x:c r="G20" s="15" t="str">
        <x:v>结论</x:v>
      </x:c>
      <x:c r="H20" s="15" t="str">
        <x:v>结论</x:v>
      </x:c>
    </x:row>
    <x:row r="21">
      <x:c r="A21" s="59" t="str">
        <x:v>【示例】</x:v>
      </x:c>
      <x:c r="B21" s="19" t="str">
        <x:v>基坑支护方案评审</x:v>
      </x:c>
      <x:c r="C21" s="19"/>
      <x:c r="D21" s="19" t="str">
        <x:v>专家意见集中在水位控制与支护形式</x:v>
      </x:c>
      <x:c r="E21" s="19"/>
      <x:c r="F21" s="19" t="str">
        <x:v>按意见修改后，8/12 前重新报审</x:v>
      </x:c>
      <x:c r="G21" s="19"/>
      <x:c r="H21" s="19"/>
    </x:row>
    <x:row r="22">
      <x:c r="A22" s="62" t="str">
        <x:v>【示例】</x:v>
      </x:c>
      <x:c r="B22" s="24" t="str">
        <x:v>开工节点排期</x:v>
      </x:c>
      <x:c r="C22" s="24"/>
      <x:c r="D22" s="24" t="str">
        <x:v>报审排期偏紧，与开工节点冲突</x:v>
      </x:c>
      <x:c r="E22" s="24"/>
      <x:c r="F22" s="24" t="str">
        <x:v>先保报审，必要时调整开工安排</x:v>
      </x:c>
      <x:c r="G22" s="24"/>
      <x:c r="H22" s="24"/>
    </x:row>
    <x:row r="24" ht="24" customHeight="1">
      <x:c r="A24" s="10" t="str">
        <x:v>四、决策事项</x:v>
      </x:c>
      <x:c r="B24" s="10" t="str">
        <x:v>四、决策事项</x:v>
      </x:c>
      <x:c r="C24" s="10" t="str">
        <x:v>四、决策事项</x:v>
      </x:c>
      <x:c r="D24" s="10" t="str">
        <x:v>四、决策事项</x:v>
      </x:c>
      <x:c r="E24" s="10" t="str">
        <x:v>四、决策事项</x:v>
      </x:c>
      <x:c r="F24" s="10" t="str">
        <x:v>四、决策事项</x:v>
      </x:c>
      <x:c r="G24" s="10" t="str">
        <x:v>四、决策事项</x:v>
      </x:c>
      <x:c r="H24" s="10" t="str">
        <x:v>四、决策事项</x:v>
      </x:c>
    </x:row>
    <x:row r="25" ht="20" customHeight="1">
      <x:c r="A25" s="15" t="str">
        <x:v>编号</x:v>
      </x:c>
      <x:c r="B25" s="15" t="str">
        <x:v>决策内容</x:v>
      </x:c>
      <x:c r="C25" s="15" t="str">
        <x:v>决策内容</x:v>
      </x:c>
      <x:c r="D25" s="15" t="str">
        <x:v>决策内容</x:v>
      </x:c>
      <x:c r="E25" s="15" t="str">
        <x:v>决策人</x:v>
      </x:c>
      <x:c r="F25" s="15" t="str">
        <x:v>决策人</x:v>
      </x:c>
      <x:c r="G25" s="15" t="str">
        <x:v>生效时间</x:v>
      </x:c>
      <x:c r="H25" s="15" t="str">
        <x:v>生效时间</x:v>
      </x:c>
    </x:row>
    <x:row r="26">
      <x:c r="A26" s="59" t="str">
        <x:v>【示例】</x:v>
      </x:c>
      <x:c r="B26" s="19" t="str">
        <x:v>支护形式调整为 XX 方案，涉及成本变化由项目总确认</x:v>
      </x:c>
      <x:c r="C26" s="19"/>
      <x:c r="D26" s="19"/>
      <x:c r="E26" s="59" t="str">
        <x:v>项目总</x:v>
      </x:c>
      <x:c r="F26" s="59"/>
      <x:c r="G26" s="59" t="str">
        <x:v>8/10 前确认</x:v>
      </x:c>
      <x:c r="H26" s="59"/>
    </x:row>
    <x:row r="28" ht="24" customHeight="1">
      <x:c r="A28" s="10" t="str">
        <x:v>五、待办事项</x:v>
      </x:c>
      <x:c r="B28" s="10" t="str">
        <x:v>五、待办事项</x:v>
      </x:c>
      <x:c r="C28" s="10" t="str">
        <x:v>五、待办事项</x:v>
      </x:c>
      <x:c r="D28" s="10" t="str">
        <x:v>五、待办事项</x:v>
      </x:c>
      <x:c r="E28" s="10" t="str">
        <x:v>五、待办事项</x:v>
      </x:c>
      <x:c r="F28" s="10" t="str">
        <x:v>五、待办事项</x:v>
      </x:c>
      <x:c r="G28" s="10" t="str">
        <x:v>五、待办事项</x:v>
      </x:c>
      <x:c r="H28" s="10" t="str">
        <x:v>五、待办事项</x:v>
      </x:c>
    </x:row>
    <x:row r="29" ht="20" customHeight="1">
      <x:c r="A29" s="15" t="str">
        <x:v>编号</x:v>
      </x:c>
      <x:c r="B29" s="15" t="str">
        <x:v>待办事项</x:v>
      </x:c>
      <x:c r="C29" s="15" t="str">
        <x:v>待办事项</x:v>
      </x:c>
      <x:c r="D29" s="15" t="str">
        <x:v>待办事项</x:v>
      </x:c>
      <x:c r="E29" s="15" t="str">
        <x:v>责任人</x:v>
      </x:c>
      <x:c r="F29" s="15" t="str">
        <x:v>截止时间</x:v>
      </x:c>
      <x:c r="G29" s="15" t="str">
        <x:v>优先级</x:v>
      </x:c>
      <x:c r="H29" s="15" t="str">
        <x:v>状态</x:v>
      </x:c>
    </x:row>
    <x:row r="30">
      <x:c r="A30" s="59" t="str">
        <x:v>【示例】</x:v>
      </x:c>
      <x:c r="B30" s="19" t="str">
        <x:v>提交修改版支护图纸</x:v>
      </x:c>
      <x:c r="C30" s="19"/>
      <x:c r="D30" s="19"/>
      <x:c r="E30" s="59" t="str">
        <x:v>设计条线</x:v>
      </x:c>
      <x:c r="F30" s="63" t="n">
        <x:v>46246</x:v>
      </x:c>
      <x:c r="G30" s="59" t="str">
        <x:v>高</x:v>
      </x:c>
      <x:c r="H30" s="59" t="str">
        <x:v>未开始</x:v>
      </x:c>
    </x:row>
    <x:row r="31">
      <x:c r="A31" s="62" t="str">
        <x:v>【示例】</x:v>
      </x:c>
      <x:c r="B31" s="24" t="str">
        <x:v>整理本周例会纪要并归档</x:v>
      </x:c>
      <x:c r="C31" s="24"/>
      <x:c r="D31" s="24"/>
      <x:c r="E31" s="62" t="str">
        <x:v>张千</x:v>
      </x:c>
      <x:c r="F31" s="64" t="n">
        <x:v>46241</x:v>
      </x:c>
      <x:c r="G31" s="62" t="str">
        <x:v>中</x:v>
      </x:c>
      <x:c r="H31" s="62" t="str">
        <x:v>已完成</x:v>
      </x:c>
    </x:row>
    <x:row r="33" ht="24" customHeight="1">
      <x:c r="A33" s="10" t="str">
        <x:v>六、风险与求助</x:v>
      </x:c>
      <x:c r="B33" s="10" t="str">
        <x:v>六、风险与求助</x:v>
      </x:c>
      <x:c r="C33" s="10" t="str">
        <x:v>六、风险与求助</x:v>
      </x:c>
      <x:c r="D33" s="10" t="str">
        <x:v>六、风险与求助</x:v>
      </x:c>
      <x:c r="E33" s="10" t="str">
        <x:v>六、风险与求助</x:v>
      </x:c>
      <x:c r="F33" s="10" t="str">
        <x:v>六、风险与求助</x:v>
      </x:c>
      <x:c r="G33" s="10" t="str">
        <x:v>六、风险与求助</x:v>
      </x:c>
      <x:c r="H33" s="10" t="str">
        <x:v>六、风险与求助</x:v>
      </x:c>
    </x:row>
    <x:row r="34" ht="20" customHeight="1">
      <x:c r="A34" s="15" t="str">
        <x:v>编号</x:v>
      </x:c>
      <x:c r="B34" s="15" t="str">
        <x:v>风险描述</x:v>
      </x:c>
      <x:c r="C34" s="15" t="str">
        <x:v>风险描述</x:v>
      </x:c>
      <x:c r="D34" s="15" t="str">
        <x:v>影响范围</x:v>
      </x:c>
      <x:c r="E34" s="15" t="str">
        <x:v>影响范围</x:v>
      </x:c>
      <x:c r="F34" s="15" t="str">
        <x:v>需要的支持</x:v>
      </x:c>
      <x:c r="G34" s="15" t="str">
        <x:v>需要的支持</x:v>
      </x:c>
      <x:c r="H34" s="15" t="str">
        <x:v>需要的支持</x:v>
      </x:c>
    </x:row>
    <x:row r="35">
      <x:c r="A35" s="59" t="str">
        <x:v>【示例】</x:v>
      </x:c>
      <x:c r="B35" s="19" t="str">
        <x:v>报审排期紧，设计院反馈慢</x:v>
      </x:c>
      <x:c r="C35" s="19"/>
      <x:c r="D35" s="19" t="str">
        <x:v>影响开工节点</x:v>
      </x:c>
      <x:c r="E35" s="19"/>
      <x:c r="F35" s="19" t="str">
        <x:v>需集团协调设计院资源</x:v>
      </x:c>
      <x:c r="G35" s="19"/>
      <x:c r="H35" s="19"/>
    </x:row>
    <x:row r="37" ht="34" customHeight="1">
      <x:c r="A37" s="50" t="str">
        <x:v>备注：本模板示例均为占位内容，请替换为真实项目信息；待办状态与优先级可在“待办追踪”表中统一维护。</x:v>
      </x:c>
      <x:c r="B37" s="50" t="str">
        <x:v>备注：本模板示例均为占位内容，请替换为真实项目信息；待办状态与优先级可在“待办追踪”表中统一维护。</x:v>
      </x:c>
      <x:c r="C37" s="50" t="str">
        <x:v>备注：本模板示例均为占位内容，请替换为真实项目信息；待办状态与优先级可在“待办追踪”表中统一维护。</x:v>
      </x:c>
      <x:c r="D37" s="50" t="str">
        <x:v>备注：本模板示例均为占位内容，请替换为真实项目信息；待办状态与优先级可在“待办追踪”表中统一维护。</x:v>
      </x:c>
      <x:c r="E37" s="50" t="str">
        <x:v>备注：本模板示例均为占位内容，请替换为真实项目信息；待办状态与优先级可在“待办追踪”表中统一维护。</x:v>
      </x:c>
      <x:c r="F37" s="50" t="str">
        <x:v>备注：本模板示例均为占位内容，请替换为真实项目信息；待办状态与优先级可在“待办追踪”表中统一维护。</x:v>
      </x:c>
      <x:c r="G37" s="50" t="str">
        <x:v>备注：本模板示例均为占位内容，请替换为真实项目信息；待办状态与优先级可在“待办追踪”表中统一维护。</x:v>
      </x:c>
      <x:c r="H37" s="50" t="str">
        <x:v>备注：本模板示例均为占位内容，请替换为真实项目信息；待办状态与优先级可在“待办追踪”表中统一维护。</x:v>
      </x:c>
    </x:row>
    <x:row r="38" ht="34" customHeight="1">
      <x:c r="A38" s="50" t="str">
        <x:v>备注：本模板示例均为占位内容，请替换为真实项目信息；待办状态与优先级可在“待办追踪”表中统一维护。</x:v>
      </x:c>
      <x:c r="B38" s="50" t="str">
        <x:v>备注：本模板示例均为占位内容，请替换为真实项目信息；待办状态与优先级可在“待办追踪”表中统一维护。</x:v>
      </x:c>
      <x:c r="C38" s="50" t="str">
        <x:v>备注：本模板示例均为占位内容，请替换为真实项目信息；待办状态与优先级可在“待办追踪”表中统一维护。</x:v>
      </x:c>
      <x:c r="D38" s="50" t="str">
        <x:v>备注：本模板示例均为占位内容，请替换为真实项目信息；待办状态与优先级可在“待办追踪”表中统一维护。</x:v>
      </x:c>
      <x:c r="E38" s="50" t="str">
        <x:v>备注：本模板示例均为占位内容，请替换为真实项目信息；待办状态与优先级可在“待办追踪”表中统一维护。</x:v>
      </x:c>
      <x:c r="F38" s="50" t="str">
        <x:v>备注：本模板示例均为占位内容，请替换为真实项目信息；待办状态与优先级可在“待办追踪”表中统一维护。</x:v>
      </x:c>
      <x:c r="G38" s="50" t="str">
        <x:v>备注：本模板示例均为占位内容，请替换为真实项目信息；待办状态与优先级可在“待办追踪”表中统一维护。</x:v>
      </x:c>
      <x:c r="H38" s="50" t="str">
        <x:v>备注：本模板示例均为占位内容，请替换为真实项目信息；待办状态与优先级可在“待办追踪”表中统一维护。</x:v>
      </x:c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4:H14"/>
    <x:mergeCell ref="B15:C15"/>
    <x:mergeCell ref="E15:H15"/>
    <x:mergeCell ref="B16:C16"/>
    <x:mergeCell ref="E16:H16"/>
    <x:mergeCell ref="B17:C17"/>
    <x:mergeCell ref="E17:H17"/>
    <x:mergeCell ref="A19:H19"/>
    <x:mergeCell ref="B20:C20"/>
    <x:mergeCell ref="D20:E20"/>
    <x:mergeCell ref="F20:H20"/>
    <x:mergeCell ref="B21:C21"/>
    <x:mergeCell ref="D21:E21"/>
    <x:mergeCell ref="F21:H21"/>
    <x:mergeCell ref="B22:C22"/>
    <x:mergeCell ref="D22:E22"/>
    <x:mergeCell ref="F22:H22"/>
    <x:mergeCell ref="A24:H24"/>
    <x:mergeCell ref="B25:D25"/>
    <x:mergeCell ref="E25:F25"/>
    <x:mergeCell ref="G25:H25"/>
    <x:mergeCell ref="B26:D26"/>
    <x:mergeCell ref="E26:F26"/>
    <x:mergeCell ref="G26:H26"/>
    <x:mergeCell ref="A28:H28"/>
    <x:mergeCell ref="B29:D29"/>
    <x:mergeCell ref="B30:D30"/>
    <x:mergeCell ref="B31:D31"/>
    <x:mergeCell ref="A33:H33"/>
    <x:mergeCell ref="B34:C34"/>
    <x:mergeCell ref="D34:E34"/>
    <x:mergeCell ref="F34:H34"/>
    <x:mergeCell ref="B35:C35"/>
    <x:mergeCell ref="D35:E35"/>
    <x:mergeCell ref="F35:H35"/>
    <x:mergeCell ref="A37:H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14" hidden="0" customWidth="1"/>
    <x:col min="4" max="4" width="14" hidden="0" customWidth="1"/>
    <x:col min="5" max="5" width="10" hidden="0" customWidth="1"/>
    <x:col min="6" max="6" width="12" hidden="0" customWidth="1"/>
    <x:col min="7" max="7" width="30" hidden="0" customWidth="1"/>
    <x:col min="9" max="9" width="14" hidden="0" customWidth="1"/>
    <x:col min="10" max="10" width="14" hidden="0" customWidth="1"/>
  </x:cols>
  <x:sheetData>
    <x:row r="1" ht="30" customHeight="1">
      <x:c r="A1" s="4" t="str">
        <x:v>项目周会纪要格式规范</x:v>
      </x:c>
      <x:c r="B1" s="4" t="str">
        <x:v>项目周会纪要格式规范</x:v>
      </x:c>
      <x:c r="C1" s="4" t="str">
        <x:v>项目周会纪要格式规范</x:v>
      </x:c>
      <x:c r="D1" s="4" t="str">
        <x:v>项目周会纪要格式规范</x:v>
      </x:c>
      <x:c r="E1" s="4" t="str">
        <x:v>项目周会纪要格式规范</x:v>
      </x:c>
      <x:c r="F1" s="4" t="str">
        <x:v>项目周会纪要格式规范</x:v>
      </x:c>
      <x:c r="G1" s="4" t="str">
        <x:v>项目周会纪要格式规范</x:v>
      </x:c>
    </x:row>
    <x:row r="2" ht="20" customHeight="1">
      <x:c r="A2" s="6" t="str">
        <x:v>越秀集团实习实践 · 2026 · 通用模板（示例内容均为占位）</x:v>
      </x:c>
      <x:c r="B2" s="6" t="str">
        <x:v>越秀集团实习实践 · 2026 · 通用模板（示例内容均为占位）</x:v>
      </x:c>
      <x:c r="C2" s="6" t="str">
        <x:v>越秀集团实习实践 · 2026 · 通用模板（示例内容均为占位）</x:v>
      </x:c>
      <x:c r="D2" s="6" t="str">
        <x:v>越秀集团实习实践 · 2026 · 通用模板（示例内容均为占位）</x:v>
      </x:c>
      <x:c r="E2" s="6" t="str">
        <x:v>越秀集团实习实践 · 2026 · 通用模板（示例内容均为占位）</x:v>
      </x:c>
      <x:c r="F2" s="6" t="str">
        <x:v>越秀集团实习实践 · 2026 · 通用模板（示例内容均为占位）</x:v>
      </x:c>
      <x:c r="G2" s="6" t="str">
        <x:v>越秀集团实习实践 · 2026 · 通用模板（示例内容均为占位）</x:v>
      </x:c>
    </x:row>
    <x:row r="3" ht="22" customHeight="1">
      <x:c r="A3" s="15" t="str">
        <x:v>编号</x:v>
      </x:c>
      <x:c r="B3" s="15" t="str">
        <x:v>待办事项</x:v>
      </x:c>
      <x:c r="C3" s="15" t="str">
        <x:v>责任人</x:v>
      </x:c>
      <x:c r="D3" s="15" t="str">
        <x:v>截止日期</x:v>
      </x:c>
      <x:c r="E3" s="15" t="str">
        <x:v>优先级</x:v>
      </x:c>
      <x:c r="F3" s="15" t="str">
        <x:v>状态</x:v>
      </x:c>
      <x:c r="G3" s="15" t="str">
        <x:v>备注</x:v>
      </x:c>
      <x:c r="I3" s="67" t="str">
        <x:v>台账统计</x:v>
      </x:c>
      <x:c r="J3" s="67" t="str">
        <x:v>台账统计</x:v>
      </x:c>
    </x:row>
    <x:row r="4" ht="20" customHeight="1">
      <x:c r="A4" s="59" t="str">
        <x:v>【示例】</x:v>
      </x:c>
      <x:c r="B4" s="19" t="str">
        <x:v>核对施工图送审意见并回复设计院</x:v>
      </x:c>
      <x:c r="C4" s="59" t="str">
        <x:v>设计条线</x:v>
      </x:c>
      <x:c r="D4" s="63" t="n">
        <x:v>46244</x:v>
      </x:c>
      <x:c r="E4" s="59" t="str">
        <x:v>高</x:v>
      </x:c>
      <x:c r="F4" s="59" t="str">
        <x:v>进行中</x:v>
      </x:c>
      <x:c r="G4" s="19" t="str">
        <x:v>已催办</x:v>
      </x:c>
      <x:c r="I4" s="72" t="str">
        <x:v>总事项</x:v>
      </x:c>
      <x:c r="J4" s="73" t="n">
        <x:f>COUNTA(A4:A33)</x:f>
        <x:v>4</x:v>
      </x:c>
    </x:row>
    <x:row r="5" ht="20" customHeight="1">
      <x:c r="A5" s="62" t="str">
        <x:v>【示例】</x:v>
      </x:c>
      <x:c r="B5" s="24" t="str">
        <x:v>更新基坑支护方案评审意见汇总表</x:v>
      </x:c>
      <x:c r="C5" s="62" t="str">
        <x:v>张千</x:v>
      </x:c>
      <x:c r="D5" s="64" t="n">
        <x:v>46243</x:v>
      </x:c>
      <x:c r="E5" s="62" t="str">
        <x:v>中</x:v>
      </x:c>
      <x:c r="F5" s="62" t="str">
        <x:v>未开始</x:v>
      </x:c>
      <x:c r="G5" s="24" t="str">
        <x:v>待设计院反馈</x:v>
      </x:c>
      <x:c r="I5" s="72" t="str">
        <x:v>已完成</x:v>
      </x:c>
      <x:c r="J5" s="73" t="n">
        <x:f>COUNTIF(F4:F33,"已完成")</x:f>
        <x:v>1</x:v>
      </x:c>
    </x:row>
    <x:row r="6" ht="20" customHeight="1">
      <x:c r="A6" s="59" t="str">
        <x:v>【示例】</x:v>
      </x:c>
      <x:c r="B6" s="19" t="str">
        <x:v>对接集团协调设计院排期</x:v>
      </x:c>
      <x:c r="C6" s="59" t="str">
        <x:v>项目总</x:v>
      </x:c>
      <x:c r="D6" s="63" t="n">
        <x:v>46246</x:v>
      </x:c>
      <x:c r="E6" s="59" t="str">
        <x:v>高</x:v>
      </x:c>
      <x:c r="F6" s="59" t="str">
        <x:v>未开始</x:v>
      </x:c>
      <x:c r="G6" s="19" t="str">
        <x:v>需升级协调</x:v>
      </x:c>
      <x:c r="I6" s="72" t="str">
        <x:v>进行中</x:v>
      </x:c>
      <x:c r="J6" s="73" t="n">
        <x:f>COUNTIF(F4:F33,"进行中")</x:f>
        <x:v>1</x:v>
      </x:c>
    </x:row>
    <x:row r="7" ht="20" customHeight="1">
      <x:c r="A7" s="62" t="str">
        <x:v>【示例】</x:v>
      </x:c>
      <x:c r="B7" s="24" t="str">
        <x:v>整理本周例会纪要并归档</x:v>
      </x:c>
      <x:c r="C7" s="62" t="str">
        <x:v>张千</x:v>
      </x:c>
      <x:c r="D7" s="64" t="n">
        <x:v>46241</x:v>
      </x:c>
      <x:c r="E7" s="62" t="str">
        <x:v>中</x:v>
      </x:c>
      <x:c r="F7" s="62" t="str">
        <x:v>已完成</x:v>
      </x:c>
      <x:c r="G7" s="24" t="str">
        <x:v>已归档至项目文件夹</x:v>
      </x:c>
      <x:c r="I7" s="72" t="str">
        <x:v>未开始</x:v>
      </x:c>
      <x:c r="J7" s="73" t="n">
        <x:f>COUNTIF(F4:F33,"未开始")</x:f>
        <x:v>2</x:v>
      </x:c>
    </x:row>
    <x:row r="8" ht="20" customHeight="1">
      <x:c r="A8" s="59"/>
      <x:c r="B8" s="19"/>
      <x:c r="C8" s="59"/>
      <x:c r="D8" s="63"/>
      <x:c r="E8" s="59"/>
      <x:c r="F8" s="59"/>
      <x:c r="G8" s="19"/>
      <x:c r="I8" s="72" t="str">
        <x:v>已逾期</x:v>
      </x:c>
      <x:c r="J8" s="73" t="n">
        <x:f>COUNTIF(F4:F33,"已逾期")</x:f>
        <x:v>0</x:v>
      </x:c>
    </x:row>
    <x:row r="9" ht="20" customHeight="1">
      <x:c r="A9" s="62"/>
      <x:c r="B9" s="24"/>
      <x:c r="C9" s="62"/>
      <x:c r="D9" s="64"/>
      <x:c r="E9" s="62"/>
      <x:c r="F9" s="62"/>
      <x:c r="G9" s="24"/>
      <x:c r="I9" s="72" t="str">
        <x:v>完成率</x:v>
      </x:c>
      <x:c r="J9" s="74" t="n">
        <x:f>IF(J4&gt;0,J5/J4,0)</x:f>
        <x:v>0.25</x:v>
      </x:c>
    </x:row>
    <x:row r="10" ht="20" customHeight="1">
      <x:c r="A10" s="59"/>
      <x:c r="B10" s="19"/>
      <x:c r="C10" s="59"/>
      <x:c r="D10" s="63"/>
      <x:c r="E10" s="59"/>
      <x:c r="F10" s="59"/>
      <x:c r="G10" s="19"/>
    </x:row>
    <x:row r="11" ht="30" customHeight="1">
      <x:c r="A11" s="62"/>
      <x:c r="B11" s="24"/>
      <x:c r="C11" s="62"/>
      <x:c r="D11" s="64"/>
      <x:c r="E11" s="62"/>
      <x:c r="F11" s="62"/>
      <x:c r="G11" s="24"/>
      <x:c r="I11" s="77" t="str">
        <x:v>状态与优先级通过下拉选择；已逾期自动标红，完成后标绿；右侧统计区为公式自动计算。</x:v>
      </x:c>
      <x:c r="J11" s="77" t="str">
        <x:v>状态与优先级通过下拉选择；已逾期自动标红，完成后标绿；右侧统计区为公式自动计算。</x:v>
      </x:c>
    </x:row>
    <x:row r="12" ht="30" customHeight="1">
      <x:c r="A12" s="59"/>
      <x:c r="B12" s="19"/>
      <x:c r="C12" s="59"/>
      <x:c r="D12" s="63"/>
      <x:c r="E12" s="59"/>
      <x:c r="F12" s="59"/>
      <x:c r="G12" s="19"/>
      <x:c r="I12" s="77" t="str">
        <x:v>状态与优先级通过下拉选择；已逾期自动标红，完成后标绿；右侧统计区为公式自动计算。</x:v>
      </x:c>
      <x:c r="J12" s="77" t="str">
        <x:v>状态与优先级通过下拉选择；已逾期自动标红，完成后标绿；右侧统计区为公式自动计算。</x:v>
      </x:c>
    </x:row>
    <x:row r="13" ht="20" customHeight="1">
      <x:c r="A13" s="62"/>
      <x:c r="B13" s="24"/>
      <x:c r="C13" s="62"/>
      <x:c r="D13" s="64"/>
      <x:c r="E13" s="62"/>
      <x:c r="F13" s="62"/>
      <x:c r="G13" s="24"/>
    </x:row>
    <x:row r="14" ht="20" customHeight="1">
      <x:c r="A14" s="59"/>
      <x:c r="B14" s="19"/>
      <x:c r="C14" s="59"/>
      <x:c r="D14" s="63"/>
      <x:c r="E14" s="59"/>
      <x:c r="F14" s="59"/>
      <x:c r="G14" s="19"/>
    </x:row>
    <x:row r="15" ht="20" customHeight="1">
      <x:c r="A15" s="62"/>
      <x:c r="B15" s="24"/>
      <x:c r="C15" s="62"/>
      <x:c r="D15" s="64"/>
      <x:c r="E15" s="62"/>
      <x:c r="F15" s="62"/>
      <x:c r="G15" s="24"/>
    </x:row>
    <x:row r="16" ht="20" customHeight="1">
      <x:c r="A16" s="59"/>
      <x:c r="B16" s="19"/>
      <x:c r="C16" s="59"/>
      <x:c r="D16" s="63"/>
      <x:c r="E16" s="59"/>
      <x:c r="F16" s="59"/>
      <x:c r="G16" s="19"/>
    </x:row>
    <x:row r="17" ht="20" customHeight="1">
      <x:c r="A17" s="62"/>
      <x:c r="B17" s="24"/>
      <x:c r="C17" s="62"/>
      <x:c r="D17" s="64"/>
      <x:c r="E17" s="62"/>
      <x:c r="F17" s="62"/>
      <x:c r="G17" s="24"/>
    </x:row>
    <x:row r="18" ht="20" customHeight="1">
      <x:c r="A18" s="59"/>
      <x:c r="B18" s="19"/>
      <x:c r="C18" s="59"/>
      <x:c r="D18" s="63"/>
      <x:c r="E18" s="59"/>
      <x:c r="F18" s="59"/>
      <x:c r="G18" s="19"/>
    </x:row>
    <x:row r="19" ht="20" customHeight="1">
      <x:c r="A19" s="62"/>
      <x:c r="B19" s="24"/>
      <x:c r="C19" s="62"/>
      <x:c r="D19" s="64"/>
      <x:c r="E19" s="62"/>
      <x:c r="F19" s="62"/>
      <x:c r="G19" s="24"/>
    </x:row>
    <x:row r="20" ht="20" customHeight="1">
      <x:c r="A20" s="59"/>
      <x:c r="B20" s="19"/>
      <x:c r="C20" s="59"/>
      <x:c r="D20" s="63"/>
      <x:c r="E20" s="59"/>
      <x:c r="F20" s="59"/>
      <x:c r="G20" s="19"/>
    </x:row>
    <x:row r="21" ht="20" customHeight="1">
      <x:c r="A21" s="62"/>
      <x:c r="B21" s="24"/>
      <x:c r="C21" s="62"/>
      <x:c r="D21" s="64"/>
      <x:c r="E21" s="62"/>
      <x:c r="F21" s="62"/>
      <x:c r="G21" s="24"/>
    </x:row>
    <x:row r="22" ht="20" customHeight="1">
      <x:c r="A22" s="59"/>
      <x:c r="B22" s="19"/>
      <x:c r="C22" s="59"/>
      <x:c r="D22" s="63"/>
      <x:c r="E22" s="59"/>
      <x:c r="F22" s="59"/>
      <x:c r="G22" s="19"/>
    </x:row>
    <x:row r="23" ht="20" customHeight="1">
      <x:c r="A23" s="62"/>
      <x:c r="B23" s="24"/>
      <x:c r="C23" s="62"/>
      <x:c r="D23" s="64"/>
      <x:c r="E23" s="62"/>
      <x:c r="F23" s="62"/>
      <x:c r="G23" s="24"/>
    </x:row>
    <x:row r="24" ht="20" customHeight="1">
      <x:c r="A24" s="59"/>
      <x:c r="B24" s="19"/>
      <x:c r="C24" s="59"/>
      <x:c r="D24" s="63"/>
      <x:c r="E24" s="59"/>
      <x:c r="F24" s="59"/>
      <x:c r="G24" s="19"/>
    </x:row>
    <x:row r="25" ht="20" customHeight="1">
      <x:c r="A25" s="62"/>
      <x:c r="B25" s="24"/>
      <x:c r="C25" s="62"/>
      <x:c r="D25" s="64"/>
      <x:c r="E25" s="62"/>
      <x:c r="F25" s="62"/>
      <x:c r="G25" s="24"/>
    </x:row>
    <x:row r="26" ht="20" customHeight="1">
      <x:c r="A26" s="59"/>
      <x:c r="B26" s="19"/>
      <x:c r="C26" s="59"/>
      <x:c r="D26" s="63"/>
      <x:c r="E26" s="59"/>
      <x:c r="F26" s="59"/>
      <x:c r="G26" s="19"/>
    </x:row>
    <x:row r="27" ht="20" customHeight="1">
      <x:c r="A27" s="62"/>
      <x:c r="B27" s="24"/>
      <x:c r="C27" s="62"/>
      <x:c r="D27" s="64"/>
      <x:c r="E27" s="62"/>
      <x:c r="F27" s="62"/>
      <x:c r="G27" s="24"/>
    </x:row>
    <x:row r="28" ht="20" customHeight="1">
      <x:c r="A28" s="59"/>
      <x:c r="B28" s="19"/>
      <x:c r="C28" s="59"/>
      <x:c r="D28" s="63"/>
      <x:c r="E28" s="59"/>
      <x:c r="F28" s="59"/>
      <x:c r="G28" s="19"/>
    </x:row>
    <x:row r="29" ht="20" customHeight="1">
      <x:c r="A29" s="62"/>
      <x:c r="B29" s="24"/>
      <x:c r="C29" s="62"/>
      <x:c r="D29" s="64"/>
      <x:c r="E29" s="62"/>
      <x:c r="F29" s="62"/>
      <x:c r="G29" s="24"/>
    </x:row>
    <x:row r="30" ht="20" customHeight="1">
      <x:c r="A30" s="59"/>
      <x:c r="B30" s="19"/>
      <x:c r="C30" s="59"/>
      <x:c r="D30" s="63"/>
      <x:c r="E30" s="59"/>
      <x:c r="F30" s="59"/>
      <x:c r="G30" s="19"/>
    </x:row>
    <x:row r="31" ht="20" customHeight="1">
      <x:c r="A31" s="62"/>
      <x:c r="B31" s="24"/>
      <x:c r="C31" s="62"/>
      <x:c r="D31" s="64"/>
      <x:c r="E31" s="62"/>
      <x:c r="F31" s="62"/>
      <x:c r="G31" s="24"/>
    </x:row>
    <x:row r="32" ht="20" customHeight="1">
      <x:c r="A32" s="59"/>
      <x:c r="B32" s="19"/>
      <x:c r="C32" s="59"/>
      <x:c r="D32" s="63"/>
      <x:c r="E32" s="59"/>
      <x:c r="F32" s="59"/>
      <x:c r="G32" s="19"/>
    </x:row>
    <x:row r="33" ht="20" customHeight="1">
      <x:c r="A33" s="62"/>
      <x:c r="B33" s="24"/>
      <x:c r="C33" s="62"/>
      <x:c r="D33" s="64"/>
      <x:c r="E33" s="62"/>
      <x:c r="F33" s="62"/>
      <x:c r="G33" s="24"/>
    </x:row>
  </x:sheetData>
  <x:mergeCells>
    <x:mergeCell ref="A1:G1"/>
    <x:mergeCell ref="A2:G2"/>
    <x:mergeCell ref="I3:J3"/>
    <x:mergeCell ref="I11:J12"/>
  </x:mergeCells>
  <x:conditionalFormatting sqref="F4:F33">
    <x:cfRule type="containsText" dxfId="0" priority="1" operator="containsText" text="已完成"/>
    <x:cfRule type="containsText" dxfId="1" priority="2" operator="containsText" text="已逾期"/>
    <x:cfRule type="containsText" dxfId="2" priority="3" operator="containsText" text="进行中"/>
    <x:cfRule type="containsText" dxfId="3" priority="4" operator="containsText" text="未开始"/>
  </x:conditionalFormatting>
  <x:conditionalFormatting sqref="E4:E33">
    <x:cfRule type="containsText" dxfId="4" priority="5" operator="containsText" text="高"/>
    <x:cfRule type="containsText" dxfId="5" priority="6" operator="containsText" text="中"/>
    <x:cfRule type="containsText" dxfId="6" priority="7" operator="containsText" text="低"/>
  </x:conditionalFormatting>
  <x:dataValidations count="2">
    <x:dataValidation type="list" sqref="E4:E33">
      <x:formula1>"高,中,低"</x:formula1>
    </x:dataValidation>
    <x:dataValidation type="list" sqref="F4:F33">
      <x:formula1>"未开始,进行中,已完成,已逾期"</x:formula1>
    </x:dataValidation>
  </x:dataValidations>
  <x:pageMargins left="0.7" right="0.7" top="0.75" bottom="0.75" header="0.3" footer="0.3"/>
</x:worksheet>
</file>